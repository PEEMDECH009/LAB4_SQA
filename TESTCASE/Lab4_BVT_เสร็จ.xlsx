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acgun/Downloads/"/>
    </mc:Choice>
  </mc:AlternateContent>
  <xr:revisionPtr revIDLastSave="0" documentId="8_{CE4F25DF-0817-7A4B-B10E-E65598B4B941}" xr6:coauthVersionLast="47" xr6:coauthVersionMax="47" xr10:uidLastSave="{00000000-0000-0000-0000-000000000000}"/>
  <bookViews>
    <workbookView xWindow="0" yWindow="740" windowWidth="29400" windowHeight="18380" tabRatio="500" activeTab="2" xr2:uid="{00000000-000D-0000-FFFF-FFFF00000000}"/>
  </bookViews>
  <sheets>
    <sheet name="Test Summary" sheetId="1" r:id="rId1"/>
    <sheet name="Normal" sheetId="2" r:id="rId2"/>
    <sheet name="Robustness" sheetId="3" r:id="rId3"/>
    <sheet name="Defect Summary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1" l="1"/>
  <c r="E4" i="1"/>
  <c r="D4" i="1"/>
  <c r="C4" i="1"/>
  <c r="B4" i="1"/>
  <c r="F3" i="1"/>
  <c r="F6" i="1" s="1"/>
  <c r="E3" i="1"/>
  <c r="E6" i="1" s="1"/>
  <c r="D3" i="1"/>
  <c r="D6" i="1" s="1"/>
  <c r="C3" i="1"/>
  <c r="C6" i="1" s="1"/>
  <c r="B3" i="1"/>
  <c r="B6" i="1" s="1"/>
</calcChain>
</file>

<file path=xl/sharedStrings.xml><?xml version="1.0" encoding="utf-8"?>
<sst xmlns="http://schemas.openxmlformats.org/spreadsheetml/2006/main" count="182" uniqueCount="80">
  <si>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</si>
  <si>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</si>
  <si>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</si>
  <si>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</si>
  <si>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</si>
  <si>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</si>
  <si>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</si>
  <si>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</si>
  <si>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</si>
  <si>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</si>
  <si>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</si>
  <si>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VO2 Max</t>
  </si>
  <si>
    <t>RHR</t>
  </si>
  <si>
    <t>HRR</t>
  </si>
  <si>
    <t>min-</t>
  </si>
  <si>
    <t>N/A</t>
  </si>
  <si>
    <t xml:space="preserve">Project Name: </t>
  </si>
  <si>
    <t>Lab 4.1</t>
  </si>
  <si>
    <t xml:space="preserve">Student ID: </t>
  </si>
  <si>
    <t>min</t>
  </si>
  <si>
    <t xml:space="preserve">Test Strategy: </t>
  </si>
  <si>
    <t>Functional testing - Normal Boundary Value Testing</t>
  </si>
  <si>
    <t xml:space="preserve">Designer: 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</si>
  <si>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</si>
  <si>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</si>
  <si>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</si>
  <si>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</si>
  <si>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</si>
  <si>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</si>
  <si>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</si>
  <si>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</si>
  <si>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</si>
  <si>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</si>
  <si>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</si>
  <si>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</si>
  <si>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TC001</t>
  </si>
  <si>
    <t>VO2Score=2, RHRScore=3, HRRScore=3, Total=8 -&gt; Standard</t>
  </si>
  <si>
    <t>TC002</t>
  </si>
  <si>
    <t>VO2Score=0, RHRScore=3, HRRScore=3, Total=6 -&gt; Standard</t>
  </si>
  <si>
    <t>TC003</t>
  </si>
  <si>
    <t>TC004</t>
  </si>
  <si>
    <t>VO2Score=5, RHRScore=3, HRRScore=3, Total=11 -&gt; Standard</t>
  </si>
  <si>
    <t>TC005</t>
  </si>
  <si>
    <t>TC006</t>
  </si>
  <si>
    <t>VO2Score=2, RHRScore=5, HRRScore=3, Total=10 -&gt; Standard</t>
  </si>
  <si>
    <t>TC007</t>
  </si>
  <si>
    <t>TC008</t>
  </si>
  <si>
    <t>VO2Score=2, RHRScore=1, HRRScore=3, Total=6 -&gt; Standard</t>
  </si>
  <si>
    <t>TC009</t>
  </si>
  <si>
    <t>TC010</t>
  </si>
  <si>
    <t>VO2Score=2, RHRScore=3, HRRScore=1, Total=6 -&gt; Standard</t>
  </si>
  <si>
    <t>TC011</t>
  </si>
  <si>
    <t>TC012</t>
  </si>
  <si>
    <t>VO2Score=2, RHRScore=3, HRRScore=5, Total=10 -&gt; Standard</t>
  </si>
  <si>
    <t>TC013</t>
  </si>
  <si>
    <t>Lab 4.2</t>
  </si>
  <si>
    <t>Functional testing - Robustness Testing</t>
  </si>
  <si>
    <t>Invalid input – VO2 Max นอกช่วงที่ยอมรับ (สมมติฐาน 0-90) -&gt; คาดว่าระบบควร reject/throw exception (ต้องตรวจสอบกับ source code จริง)</t>
  </si>
  <si>
    <t>Invalid input – RHR นอกช่วงที่ยอมรับ (40-220 ตามเอกสาร) -&gt; คาดว่าระบบควร reject/throw exception (ต้องตรวจสอบกับ source code จริง)</t>
  </si>
  <si>
    <t>TC014</t>
  </si>
  <si>
    <t>Invalid input – HRR นอกช่วงที่ยอมรับ (สมมติฐาน 0-30) -&gt; คาดว่าระบบควร reject/throw exception (ต้องตรวจสอบกับ source code จริง)</t>
  </si>
  <si>
    <t>TC015</t>
  </si>
  <si>
    <t>TC016</t>
  </si>
  <si>
    <t>TC017</t>
  </si>
  <si>
    <t>TC018</t>
  </si>
  <si>
    <t>TC019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</si>
  <si>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</si>
  <si>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</si>
  <si>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</si>
  <si>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</si>
  <si>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</si>
  <si>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</si>
  <si>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</si>
  <si>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</si>
  <si>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</si>
  <si>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</si>
  <si>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</si>
  <si>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673380420-2</t>
  </si>
  <si>
    <t>นายภีมเดช กลั่นกิ่ง</t>
  </si>
  <si>
    <t>MacOS18.6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</si>
</sst>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 x14ac:knownFonts="1">
    <font>
      <sz val="12"/>
      <color theme="1"/>
      <name val="Aptos Narrow"/>
      <family val="2"/>
      <charset val="1"/>
    </font>
    <font>
      <sz val="14"/>
      <color theme="1"/>
      <name val="Cordia New"/>
      <family val="2"/>
      <charset val="222"/>
    </font>
    <font>
      <sz val="14"/>
      <name val="Cordia New"/>
      <family val="2"/>
      <charset val="1"/>
    </font>
    <font>
      <sz val="18"/>
      <color theme="1"/>
      <name val="TH SarabunPSK"/>
      <family val="2"/>
      <charset val="1"/>
    </font>
    <font>
      <b/>
      <sz val="18"/>
      <color theme="1"/>
      <name val="TH SarabunPSK"/>
      <family val="2"/>
      <charset val="1"/>
    </font>
    <font>
      <b/>
      <sz val="18"/>
      <name val="TH SarabunPSK"/>
      <family val="2"/>
      <charset val="1"/>
    </font>
    <font>
      <u/>
      <sz val="11"/>
      <color theme="10"/>
      <name val="Aptos Narrow"/>
      <family val="2"/>
      <charset val="1"/>
    </font>
    <font>
      <u/>
      <sz val="18"/>
      <color theme="10"/>
      <name val="TH SarabunPSK"/>
      <family val="2"/>
      <charset val="1"/>
    </font>
    <font>
      <sz val="18"/>
      <color rgb="FFFF0000"/>
      <name val="TH SarabunPSK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/>
        <bgColor rgb="FF00808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0" fontId="2" fillId="0" borderId="0"/>
  </cellStyleXfs>
  <cellXfs count="39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/>
    <xf numFmtId="0" fontId="5" fillId="6" borderId="1" xfId="2" applyFont="1" applyFill="1" applyBorder="1" applyAlignment="1">
      <alignment horizontal="center" vertical="center" wrapText="1"/>
    </xf>
    <xf numFmtId="164" fontId="5" fillId="6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/>
    <xf numFmtId="0" fontId="4" fillId="2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3" fillId="0" borderId="4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3" fillId="0" borderId="5" xfId="0" applyFont="1" applyBorder="1" applyAlignment="1">
      <alignment wrapText="1"/>
    </xf>
    <xf numFmtId="14" fontId="3" fillId="0" borderId="1" xfId="0" applyNumberFormat="1" applyFont="1" applyBorder="1" applyAlignment="1">
      <alignment wrapText="1"/>
    </xf>
  </cellXfs>
  <cellStyles count="4">
    <cellStyle name="Hyperlink" xfId="1" builtinId="8"/>
    <cellStyle name="Normal" xfId="0" builtinId="0"/>
    <cellStyle name="Normal 3 4" xfId="2" xr:uid="{00000000-0005-0000-0000-000006000000}"/>
    <cellStyle name="Normal_ftest" xfId="3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6"/>
  <sheetViews>
    <sheetView zoomScaleNormal="100" workbookViewId="0">
      <selection activeCell="J6" sqref="J6"/>
    </sheetView>
  </sheetViews>
  <sheetFormatPr baseColWidth="10" defaultColWidth="9.1640625" defaultRowHeight="27" x14ac:dyDescent="0.45"/>
  <cols>
    <col min="1" max="1" width="33.83203125" style="6" customWidth="1"/>
    <col min="2" max="2" width="17.1640625" style="6" customWidth="1"/>
    <col min="3" max="6" width="9.1640625" style="6"/>
    <col min="7" max="7" width="21.83203125" style="6" customWidth="1"/>
    <col min="8" max="16384" width="9.1640625" style="6"/>
  </cols>
  <sheetData>
    <row r="2" spans="1:7" ht="55.5" customHeight="1" x14ac:dyDescent="0.45">
      <c r="A2" s="18" t="s">
        <v>0</v>
      </c>
      <c r="B2" s="19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</row>
    <row r="3" spans="1:7" x14ac:dyDescent="0.45">
      <c r="A3" s="21" t="s">
        <v>7</v>
      </c>
      <c r="B3" s="21">
        <f>COUNTA(Normal!A9:A21)</f>
        <v>13</v>
      </c>
      <c r="C3" s="21">
        <f>COUNTIF(Normal!G9:G21,"Pass")</f>
        <v>0</v>
      </c>
      <c r="D3" s="21">
        <f>COUNTIF(Normal!G9:G21,"Fail")</f>
        <v>0</v>
      </c>
      <c r="E3" s="21">
        <f>COUNTIF(Normal!G9:G21,"No run")</f>
        <v>13</v>
      </c>
      <c r="F3" s="21">
        <f>COUNTIF(Normal!G9:G21,"Block")</f>
        <v>0</v>
      </c>
      <c r="G3" s="22"/>
    </row>
    <row r="4" spans="1:7" x14ac:dyDescent="0.45">
      <c r="A4" s="21" t="s">
        <v>8</v>
      </c>
      <c r="B4" s="21">
        <f>COUNTA(Robustness!A9:A27)</f>
        <v>19</v>
      </c>
      <c r="C4" s="21">
        <f>COUNTIF(Robustness!G9:G27,"Pass")</f>
        <v>0</v>
      </c>
      <c r="D4" s="21">
        <f>COUNTIF(Robustness!G9:G27,"Fail")</f>
        <v>0</v>
      </c>
      <c r="E4" s="21">
        <f>COUNTIF(Robustness!G9:G27,"No run")</f>
        <v>19</v>
      </c>
      <c r="F4" s="21">
        <f>COUNTIF(Robustness!G9:G27,"Block")</f>
        <v>0</v>
      </c>
      <c r="G4" s="21"/>
    </row>
    <row r="5" spans="1:7" x14ac:dyDescent="0.45">
      <c r="A5" s="21"/>
      <c r="B5" s="21"/>
      <c r="C5" s="21"/>
      <c r="D5" s="21"/>
      <c r="E5" s="21"/>
      <c r="F5" s="21"/>
      <c r="G5" s="21"/>
    </row>
    <row r="6" spans="1:7" x14ac:dyDescent="0.45">
      <c r="A6" s="23" t="s">
        <v>9</v>
      </c>
      <c r="B6" s="21">
        <f>SUM(B3:B4)</f>
        <v>32</v>
      </c>
      <c r="C6" s="24">
        <f>SUM(C3:C4)</f>
        <v>0</v>
      </c>
      <c r="D6" s="25">
        <f>SUM(D3:D4)</f>
        <v>0</v>
      </c>
      <c r="E6" s="21">
        <f>SUM(E3:E4)</f>
        <v>32</v>
      </c>
      <c r="F6" s="21">
        <f>SUM(F3:F4)</f>
        <v>0</v>
      </c>
      <c r="G6" s="2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8"/>
  <sheetViews>
    <sheetView topLeftCell="B1" zoomScale="75" zoomScaleNormal="150" workbookViewId="0">
      <selection activeCell="G5" sqref="G5"/>
    </sheetView>
  </sheetViews>
  <sheetFormatPr baseColWidth="10" defaultColWidth="10.83203125" defaultRowHeight="27" x14ac:dyDescent="0.45"/>
  <cols>
    <col min="1" max="7" width="38.6640625" style="6" customWidth="1"/>
    <col min="8" max="10" width="10.83203125" style="6"/>
    <col min="11" max="11" width="15.33203125" style="6" customWidth="1"/>
    <col min="12" max="12" width="10.83203125" style="6"/>
    <col min="13" max="13" width="16.5" style="6" customWidth="1"/>
    <col min="14" max="16384" width="10.83203125" style="6"/>
  </cols>
  <sheetData>
    <row r="1" spans="1:13" x14ac:dyDescent="0.45">
      <c r="A1" s="5" t="s">
        <v>10</v>
      </c>
      <c r="B1" s="5"/>
      <c r="C1" s="5"/>
      <c r="D1" s="5"/>
      <c r="E1" s="5"/>
      <c r="F1" s="5"/>
      <c r="G1" s="5"/>
      <c r="J1" s="9"/>
      <c r="K1" s="10" t="s">
        <v>11</v>
      </c>
      <c r="L1" s="10" t="s">
        <v>12</v>
      </c>
      <c r="M1" s="10" t="s">
        <v>13</v>
      </c>
    </row>
    <row r="2" spans="1:13" x14ac:dyDescent="0.45">
      <c r="G2" s="11"/>
      <c r="J2" s="7" t="s">
        <v>14</v>
      </c>
      <c r="K2" s="8" t="s">
        <v>15</v>
      </c>
      <c r="L2" s="8" t="s">
        <v>15</v>
      </c>
      <c r="M2" s="8" t="s">
        <v>15</v>
      </c>
    </row>
    <row r="3" spans="1:13" x14ac:dyDescent="0.45">
      <c r="A3" s="12" t="s">
        <v>16</v>
      </c>
      <c r="B3" s="4" t="s">
        <v>17</v>
      </c>
      <c r="C3" s="4"/>
      <c r="D3" s="4"/>
      <c r="E3" s="4"/>
      <c r="F3" s="12" t="s">
        <v>18</v>
      </c>
      <c r="G3" s="8" t="s">
        <v>77</v>
      </c>
      <c r="J3" s="7" t="s">
        <v>19</v>
      </c>
      <c r="K3" s="8">
        <v>0</v>
      </c>
      <c r="L3" s="8">
        <v>40</v>
      </c>
      <c r="M3" s="8">
        <v>0</v>
      </c>
    </row>
    <row r="4" spans="1:13" x14ac:dyDescent="0.45">
      <c r="A4" s="12" t="s">
        <v>20</v>
      </c>
      <c r="B4" s="4" t="s">
        <v>21</v>
      </c>
      <c r="C4" s="4"/>
      <c r="D4" s="4"/>
      <c r="E4" s="4"/>
      <c r="F4" s="12" t="s">
        <v>22</v>
      </c>
      <c r="G4" s="8" t="s">
        <v>78</v>
      </c>
      <c r="J4" s="7" t="s">
        <v>23</v>
      </c>
      <c r="K4" s="8">
        <v>1</v>
      </c>
      <c r="L4" s="8">
        <v>41</v>
      </c>
      <c r="M4" s="8">
        <v>1</v>
      </c>
    </row>
    <row r="5" spans="1:13" x14ac:dyDescent="0.45">
      <c r="A5" s="13" t="s">
        <v>24</v>
      </c>
      <c r="B5" s="3" t="s">
        <v>79</v>
      </c>
      <c r="C5" s="3"/>
      <c r="D5" s="3"/>
      <c r="E5" s="3"/>
      <c r="F5" s="12" t="s">
        <v>25</v>
      </c>
      <c r="G5" s="27">
        <v>46224</v>
      </c>
      <c r="J5" s="7" t="s">
        <v>26</v>
      </c>
      <c r="K5" s="8">
        <v>35</v>
      </c>
      <c r="L5" s="8">
        <v>72</v>
      </c>
      <c r="M5" s="8">
        <v>15</v>
      </c>
    </row>
    <row r="6" spans="1:13" x14ac:dyDescent="0.45">
      <c r="J6" s="7" t="s">
        <v>27</v>
      </c>
      <c r="K6" s="8">
        <v>89</v>
      </c>
      <c r="L6" s="8">
        <v>219</v>
      </c>
      <c r="M6" s="8">
        <v>29</v>
      </c>
    </row>
    <row r="7" spans="1:13" ht="24.75" customHeight="1" x14ac:dyDescent="0.45">
      <c r="A7" s="2" t="s">
        <v>28</v>
      </c>
      <c r="B7" s="3" t="s">
        <v>29</v>
      </c>
      <c r="C7" s="3"/>
      <c r="D7" s="3"/>
      <c r="E7" s="2" t="s">
        <v>30</v>
      </c>
      <c r="F7" s="2" t="s">
        <v>31</v>
      </c>
      <c r="G7" s="1" t="s">
        <v>32</v>
      </c>
      <c r="J7" s="7" t="s">
        <v>33</v>
      </c>
      <c r="K7" s="8">
        <v>90</v>
      </c>
      <c r="L7" s="8">
        <v>220</v>
      </c>
      <c r="M7" s="8">
        <v>30</v>
      </c>
    </row>
    <row r="8" spans="1:13" x14ac:dyDescent="0.45">
      <c r="A8" s="2"/>
      <c r="B8" s="10" t="s">
        <v>11</v>
      </c>
      <c r="C8" s="10" t="s">
        <v>12</v>
      </c>
      <c r="D8" s="10" t="s">
        <v>13</v>
      </c>
      <c r="E8" s="2"/>
      <c r="F8" s="2"/>
      <c r="G8" s="2"/>
      <c r="J8" s="7" t="s">
        <v>34</v>
      </c>
      <c r="K8" s="8" t="s">
        <v>15</v>
      </c>
      <c r="L8" s="8" t="s">
        <v>15</v>
      </c>
      <c r="M8" s="8" t="s">
        <v>15</v>
      </c>
    </row>
    <row r="9" spans="1:13" ht="56" x14ac:dyDescent="0.45">
      <c r="A9" s="8" t="s">
        <v>35</v>
      </c>
      <c r="B9" s="8">
        <v>35</v>
      </c>
      <c r="C9" s="8">
        <v>72</v>
      </c>
      <c r="D9" s="8">
        <v>15</v>
      </c>
      <c r="E9" s="26" t="s">
        <v>36</v>
      </c>
      <c r="F9" s="8"/>
      <c r="G9" s="8" t="s">
        <v>4</v>
      </c>
    </row>
    <row r="10" spans="1:13" ht="56" x14ac:dyDescent="0.45">
      <c r="A10" s="8" t="s">
        <v>37</v>
      </c>
      <c r="B10" s="8">
        <v>0</v>
      </c>
      <c r="C10" s="8">
        <v>72</v>
      </c>
      <c r="D10" s="8">
        <v>15</v>
      </c>
      <c r="E10" s="26" t="s">
        <v>38</v>
      </c>
      <c r="F10" s="8"/>
      <c r="G10" s="8" t="s">
        <v>4</v>
      </c>
    </row>
    <row r="11" spans="1:13" ht="56" x14ac:dyDescent="0.45">
      <c r="A11" s="8" t="s">
        <v>39</v>
      </c>
      <c r="B11" s="8">
        <v>1</v>
      </c>
      <c r="C11" s="8">
        <v>72</v>
      </c>
      <c r="D11" s="8">
        <v>15</v>
      </c>
      <c r="E11" s="26" t="s">
        <v>38</v>
      </c>
      <c r="F11" s="8"/>
      <c r="G11" s="8" t="s">
        <v>4</v>
      </c>
      <c r="J11" s="9"/>
      <c r="K11" s="9"/>
      <c r="L11" s="9"/>
      <c r="M11" s="9"/>
    </row>
    <row r="12" spans="1:13" ht="56" x14ac:dyDescent="0.45">
      <c r="A12" s="8" t="s">
        <v>40</v>
      </c>
      <c r="B12" s="8">
        <v>89</v>
      </c>
      <c r="C12" s="8">
        <v>72</v>
      </c>
      <c r="D12" s="8">
        <v>15</v>
      </c>
      <c r="E12" s="26" t="s">
        <v>41</v>
      </c>
      <c r="F12" s="8"/>
      <c r="G12" s="8" t="s">
        <v>4</v>
      </c>
      <c r="J12" s="9"/>
      <c r="K12" s="9"/>
      <c r="L12" s="9"/>
      <c r="M12" s="9"/>
    </row>
    <row r="13" spans="1:13" ht="56" x14ac:dyDescent="0.45">
      <c r="A13" s="8" t="s">
        <v>42</v>
      </c>
      <c r="B13" s="8">
        <v>90</v>
      </c>
      <c r="C13" s="8">
        <v>72</v>
      </c>
      <c r="D13" s="8">
        <v>15</v>
      </c>
      <c r="E13" s="26" t="s">
        <v>41</v>
      </c>
      <c r="F13" s="8"/>
      <c r="G13" s="8" t="s">
        <v>4</v>
      </c>
      <c r="J13" s="9"/>
      <c r="K13" s="9"/>
      <c r="L13" s="9"/>
      <c r="M13" s="9"/>
    </row>
    <row r="14" spans="1:13" ht="56" x14ac:dyDescent="0.45">
      <c r="A14" s="8" t="s">
        <v>43</v>
      </c>
      <c r="B14" s="8">
        <v>35</v>
      </c>
      <c r="C14" s="8">
        <v>40</v>
      </c>
      <c r="D14" s="8">
        <v>15</v>
      </c>
      <c r="E14" s="26" t="s">
        <v>44</v>
      </c>
      <c r="F14" s="8"/>
      <c r="G14" s="8" t="s">
        <v>4</v>
      </c>
      <c r="J14" s="9"/>
      <c r="K14" s="9"/>
      <c r="L14" s="9"/>
      <c r="M14" s="9"/>
    </row>
    <row r="15" spans="1:13" ht="56" x14ac:dyDescent="0.45">
      <c r="A15" s="8" t="s">
        <v>45</v>
      </c>
      <c r="B15" s="8">
        <v>35</v>
      </c>
      <c r="C15" s="8">
        <v>41</v>
      </c>
      <c r="D15" s="8">
        <v>15</v>
      </c>
      <c r="E15" s="26" t="s">
        <v>44</v>
      </c>
      <c r="F15" s="8"/>
      <c r="G15" s="8" t="s">
        <v>4</v>
      </c>
      <c r="J15" s="9"/>
      <c r="K15" s="9"/>
      <c r="L15" s="9"/>
      <c r="M15" s="9"/>
    </row>
    <row r="16" spans="1:13" ht="56" x14ac:dyDescent="0.45">
      <c r="A16" s="8" t="s">
        <v>46</v>
      </c>
      <c r="B16" s="8">
        <v>35</v>
      </c>
      <c r="C16" s="8">
        <v>219</v>
      </c>
      <c r="D16" s="8">
        <v>15</v>
      </c>
      <c r="E16" s="26" t="s">
        <v>47</v>
      </c>
      <c r="F16" s="8"/>
      <c r="G16" s="8" t="s">
        <v>4</v>
      </c>
      <c r="J16" s="9"/>
      <c r="K16" s="9"/>
      <c r="L16" s="9"/>
      <c r="M16" s="9"/>
    </row>
    <row r="17" spans="1:13" ht="56" x14ac:dyDescent="0.45">
      <c r="A17" s="8" t="s">
        <v>48</v>
      </c>
      <c r="B17" s="8">
        <v>35</v>
      </c>
      <c r="C17" s="8">
        <v>220</v>
      </c>
      <c r="D17" s="8">
        <v>15</v>
      </c>
      <c r="E17" s="26" t="s">
        <v>47</v>
      </c>
      <c r="F17" s="8"/>
      <c r="G17" s="8" t="s">
        <v>4</v>
      </c>
      <c r="J17" s="9"/>
    </row>
    <row r="18" spans="1:13" ht="56" x14ac:dyDescent="0.45">
      <c r="A18" s="8" t="s">
        <v>49</v>
      </c>
      <c r="B18" s="8">
        <v>35</v>
      </c>
      <c r="C18" s="8">
        <v>72</v>
      </c>
      <c r="D18" s="8">
        <v>0</v>
      </c>
      <c r="E18" s="26" t="s">
        <v>50</v>
      </c>
      <c r="F18" s="8"/>
      <c r="G18" s="8" t="s">
        <v>4</v>
      </c>
      <c r="J18" s="9"/>
      <c r="K18" s="9"/>
      <c r="L18" s="9"/>
      <c r="M18" s="9"/>
    </row>
    <row r="19" spans="1:13" ht="56" x14ac:dyDescent="0.45">
      <c r="A19" s="8" t="s">
        <v>51</v>
      </c>
      <c r="B19" s="8">
        <v>35</v>
      </c>
      <c r="C19" s="8">
        <v>72</v>
      </c>
      <c r="D19" s="8">
        <v>1</v>
      </c>
      <c r="E19" s="26" t="s">
        <v>50</v>
      </c>
      <c r="F19" s="8"/>
      <c r="G19" s="8" t="s">
        <v>4</v>
      </c>
    </row>
    <row r="20" spans="1:13" ht="56" x14ac:dyDescent="0.45">
      <c r="A20" s="8" t="s">
        <v>52</v>
      </c>
      <c r="B20" s="8">
        <v>35</v>
      </c>
      <c r="C20" s="8">
        <v>72</v>
      </c>
      <c r="D20" s="8">
        <v>29</v>
      </c>
      <c r="E20" s="26" t="s">
        <v>53</v>
      </c>
      <c r="F20" s="8"/>
      <c r="G20" s="8" t="s">
        <v>4</v>
      </c>
    </row>
    <row r="21" spans="1:13" ht="56" x14ac:dyDescent="0.45">
      <c r="A21" s="8" t="s">
        <v>54</v>
      </c>
      <c r="B21" s="8">
        <v>35</v>
      </c>
      <c r="C21" s="8">
        <v>72</v>
      </c>
      <c r="D21" s="8">
        <v>30</v>
      </c>
      <c r="E21" s="26" t="s">
        <v>53</v>
      </c>
      <c r="F21" s="8"/>
      <c r="G21" s="8" t="s">
        <v>4</v>
      </c>
      <c r="J21" s="9"/>
      <c r="K21" s="9"/>
      <c r="L21" s="9"/>
      <c r="M21" s="9"/>
    </row>
    <row r="22" spans="1:13" x14ac:dyDescent="0.45">
      <c r="J22" s="9"/>
      <c r="K22" s="9"/>
      <c r="L22" s="9"/>
      <c r="M22" s="9"/>
    </row>
    <row r="23" spans="1:13" x14ac:dyDescent="0.45">
      <c r="J23" s="9"/>
      <c r="K23" s="9"/>
      <c r="L23" s="9"/>
      <c r="M23" s="9"/>
    </row>
    <row r="24" spans="1:13" x14ac:dyDescent="0.45">
      <c r="J24" s="9"/>
      <c r="K24" s="9"/>
      <c r="L24" s="9"/>
      <c r="M24" s="9"/>
    </row>
    <row r="25" spans="1:13" x14ac:dyDescent="0.45">
      <c r="J25" s="9"/>
      <c r="K25" s="9"/>
      <c r="L25" s="9"/>
      <c r="M25" s="9"/>
    </row>
    <row r="26" spans="1:13" x14ac:dyDescent="0.45">
      <c r="J26" s="9"/>
      <c r="K26" s="9"/>
      <c r="L26" s="9"/>
      <c r="M26" s="9"/>
    </row>
    <row r="27" spans="1:13" x14ac:dyDescent="0.45">
      <c r="J27" s="9"/>
    </row>
    <row r="28" spans="1:13" x14ac:dyDescent="0.45">
      <c r="J28" s="9"/>
      <c r="K28" s="9"/>
      <c r="L28" s="9"/>
      <c r="M28" s="9"/>
    </row>
  </sheetData>
  <mergeCells count="9">
    <mergeCell ref="A1:G1"/>
    <mergeCell ref="B3:E3"/>
    <mergeCell ref="B4:E4"/>
    <mergeCell ref="B5:E5"/>
    <mergeCell ref="A7:A8"/>
    <mergeCell ref="B7:D7"/>
    <mergeCell ref="E7:E8"/>
    <mergeCell ref="F7:F8"/>
    <mergeCell ref="G7:G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tabSelected="1" zoomScale="81" zoomScaleNormal="138" workbookViewId="0">
      <selection activeCell="G5" sqref="G5"/>
    </sheetView>
  </sheetViews>
  <sheetFormatPr baseColWidth="10" defaultColWidth="10.83203125" defaultRowHeight="27" x14ac:dyDescent="0.45"/>
  <cols>
    <col min="1" max="7" width="31.5" style="6" customWidth="1"/>
    <col min="8" max="10" width="10.83203125" style="6"/>
    <col min="11" max="11" width="15.33203125" style="6" customWidth="1"/>
    <col min="12" max="12" width="10.83203125" style="6"/>
    <col min="13" max="13" width="16.5" style="6" customWidth="1"/>
    <col min="14" max="16384" width="10.83203125" style="6"/>
  </cols>
  <sheetData>
    <row r="1" spans="1:13" x14ac:dyDescent="0.45">
      <c r="A1" s="28" t="s">
        <v>10</v>
      </c>
      <c r="B1" s="28"/>
      <c r="C1" s="28"/>
      <c r="D1" s="28"/>
      <c r="E1" s="28"/>
      <c r="F1" s="28"/>
      <c r="G1" s="28"/>
      <c r="J1" s="9"/>
      <c r="K1" s="10" t="s">
        <v>11</v>
      </c>
      <c r="L1" s="10" t="s">
        <v>12</v>
      </c>
      <c r="M1" s="10" t="s">
        <v>13</v>
      </c>
    </row>
    <row r="2" spans="1:13" x14ac:dyDescent="0.45">
      <c r="A2" s="29"/>
      <c r="B2" s="29"/>
      <c r="C2" s="29"/>
      <c r="D2" s="29"/>
      <c r="E2" s="29"/>
      <c r="F2" s="29"/>
      <c r="G2" s="30"/>
      <c r="J2" s="7" t="s">
        <v>14</v>
      </c>
      <c r="K2" s="8">
        <v>-1</v>
      </c>
      <c r="L2" s="8">
        <v>39</v>
      </c>
      <c r="M2" s="8">
        <v>-1</v>
      </c>
    </row>
    <row r="3" spans="1:13" ht="28" x14ac:dyDescent="0.45">
      <c r="A3" s="31" t="s">
        <v>16</v>
      </c>
      <c r="B3" s="32" t="s">
        <v>55</v>
      </c>
      <c r="C3" s="32"/>
      <c r="D3" s="32"/>
      <c r="E3" s="32"/>
      <c r="F3" s="31" t="s">
        <v>18</v>
      </c>
      <c r="G3" s="26" t="s">
        <v>77</v>
      </c>
      <c r="J3" s="7" t="s">
        <v>19</v>
      </c>
      <c r="K3" s="8">
        <v>0</v>
      </c>
      <c r="L3" s="8">
        <v>40</v>
      </c>
      <c r="M3" s="8">
        <v>0</v>
      </c>
    </row>
    <row r="4" spans="1:13" ht="28" x14ac:dyDescent="0.45">
      <c r="A4" s="31" t="s">
        <v>20</v>
      </c>
      <c r="B4" s="32" t="s">
        <v>56</v>
      </c>
      <c r="C4" s="32"/>
      <c r="D4" s="32"/>
      <c r="E4" s="32"/>
      <c r="F4" s="31" t="s">
        <v>22</v>
      </c>
      <c r="G4" s="26" t="s">
        <v>78</v>
      </c>
      <c r="J4" s="7" t="s">
        <v>23</v>
      </c>
      <c r="K4" s="8">
        <v>1</v>
      </c>
      <c r="L4" s="8">
        <v>41</v>
      </c>
      <c r="M4" s="8">
        <v>1</v>
      </c>
    </row>
    <row r="5" spans="1:13" ht="28" x14ac:dyDescent="0.45">
      <c r="A5" s="33" t="s">
        <v>24</v>
      </c>
      <c r="B5" s="34"/>
      <c r="C5" s="34"/>
      <c r="D5" s="34"/>
      <c r="E5" s="34"/>
      <c r="F5" s="31" t="s">
        <v>25</v>
      </c>
      <c r="G5" s="38">
        <v>46224</v>
      </c>
      <c r="J5" s="7" t="s">
        <v>26</v>
      </c>
      <c r="K5" s="8">
        <v>35</v>
      </c>
      <c r="L5" s="8">
        <v>72</v>
      </c>
      <c r="M5" s="8">
        <v>15</v>
      </c>
    </row>
    <row r="6" spans="1:13" x14ac:dyDescent="0.45">
      <c r="A6" s="29"/>
      <c r="B6" s="29"/>
      <c r="C6" s="29"/>
      <c r="D6" s="29"/>
      <c r="E6" s="29"/>
      <c r="F6" s="29"/>
      <c r="G6" s="29"/>
      <c r="J6" s="7" t="s">
        <v>27</v>
      </c>
      <c r="K6" s="8">
        <v>89</v>
      </c>
      <c r="L6" s="8">
        <v>219</v>
      </c>
      <c r="M6" s="8">
        <v>29</v>
      </c>
    </row>
    <row r="7" spans="1:13" ht="24.75" customHeight="1" x14ac:dyDescent="0.45">
      <c r="A7" s="1" t="s">
        <v>28</v>
      </c>
      <c r="B7" s="34" t="s">
        <v>29</v>
      </c>
      <c r="C7" s="34"/>
      <c r="D7" s="34"/>
      <c r="E7" s="1" t="s">
        <v>30</v>
      </c>
      <c r="F7" s="1" t="s">
        <v>31</v>
      </c>
      <c r="G7" s="1" t="s">
        <v>32</v>
      </c>
      <c r="J7" s="7" t="s">
        <v>33</v>
      </c>
      <c r="K7" s="8">
        <v>90</v>
      </c>
      <c r="L7" s="8">
        <v>220</v>
      </c>
      <c r="M7" s="8">
        <v>30</v>
      </c>
    </row>
    <row r="8" spans="1:13" ht="28" x14ac:dyDescent="0.45">
      <c r="A8" s="1"/>
      <c r="B8" s="35" t="s">
        <v>11</v>
      </c>
      <c r="C8" s="35" t="s">
        <v>12</v>
      </c>
      <c r="D8" s="35" t="s">
        <v>13</v>
      </c>
      <c r="E8" s="1"/>
      <c r="F8" s="1"/>
      <c r="G8" s="1"/>
      <c r="J8" s="7" t="s">
        <v>34</v>
      </c>
      <c r="K8" s="8">
        <v>91</v>
      </c>
      <c r="L8" s="8">
        <v>221</v>
      </c>
      <c r="M8" s="8">
        <v>31</v>
      </c>
    </row>
    <row r="9" spans="1:13" ht="84" x14ac:dyDescent="0.45">
      <c r="A9" s="26" t="s">
        <v>35</v>
      </c>
      <c r="B9" s="26">
        <v>35</v>
      </c>
      <c r="C9" s="26">
        <v>72</v>
      </c>
      <c r="D9" s="26">
        <v>15</v>
      </c>
      <c r="E9" s="36" t="s">
        <v>36</v>
      </c>
      <c r="F9" s="26"/>
      <c r="G9" s="26" t="s">
        <v>4</v>
      </c>
    </row>
    <row r="10" spans="1:13" ht="140" x14ac:dyDescent="0.45">
      <c r="A10" s="26" t="s">
        <v>37</v>
      </c>
      <c r="B10" s="26">
        <v>-1</v>
      </c>
      <c r="C10" s="26">
        <v>72</v>
      </c>
      <c r="D10" s="26">
        <v>15</v>
      </c>
      <c r="E10" s="26" t="s">
        <v>57</v>
      </c>
      <c r="F10" s="26"/>
      <c r="G10" s="26" t="s">
        <v>4</v>
      </c>
    </row>
    <row r="11" spans="1:13" ht="84" x14ac:dyDescent="0.45">
      <c r="A11" s="26" t="s">
        <v>39</v>
      </c>
      <c r="B11" s="26">
        <v>0</v>
      </c>
      <c r="C11" s="26">
        <v>72</v>
      </c>
      <c r="D11" s="26">
        <v>15</v>
      </c>
      <c r="E11" s="26" t="s">
        <v>38</v>
      </c>
      <c r="F11" s="26"/>
      <c r="G11" s="26" t="s">
        <v>4</v>
      </c>
      <c r="J11" s="9"/>
      <c r="K11" s="9"/>
      <c r="L11" s="9"/>
      <c r="M11" s="9"/>
    </row>
    <row r="12" spans="1:13" ht="84" x14ac:dyDescent="0.45">
      <c r="A12" s="26" t="s">
        <v>40</v>
      </c>
      <c r="B12" s="26">
        <v>1</v>
      </c>
      <c r="C12" s="26">
        <v>72</v>
      </c>
      <c r="D12" s="26">
        <v>15</v>
      </c>
      <c r="E12" s="26" t="s">
        <v>38</v>
      </c>
      <c r="F12" s="26"/>
      <c r="G12" s="26" t="s">
        <v>4</v>
      </c>
      <c r="J12" s="9"/>
      <c r="K12" s="9"/>
      <c r="L12" s="9"/>
      <c r="M12" s="9"/>
    </row>
    <row r="13" spans="1:13" ht="84" x14ac:dyDescent="0.45">
      <c r="A13" s="26" t="s">
        <v>42</v>
      </c>
      <c r="B13" s="26">
        <v>89</v>
      </c>
      <c r="C13" s="26">
        <v>72</v>
      </c>
      <c r="D13" s="26">
        <v>15</v>
      </c>
      <c r="E13" s="26" t="s">
        <v>41</v>
      </c>
      <c r="F13" s="26"/>
      <c r="G13" s="26" t="s">
        <v>4</v>
      </c>
      <c r="J13" s="9"/>
      <c r="K13" s="9"/>
      <c r="L13" s="9"/>
      <c r="M13" s="9"/>
    </row>
    <row r="14" spans="1:13" ht="84" x14ac:dyDescent="0.45">
      <c r="A14" s="26" t="s">
        <v>43</v>
      </c>
      <c r="B14" s="26">
        <v>90</v>
      </c>
      <c r="C14" s="26">
        <v>72</v>
      </c>
      <c r="D14" s="26">
        <v>15</v>
      </c>
      <c r="E14" s="26" t="s">
        <v>41</v>
      </c>
      <c r="F14" s="26"/>
      <c r="G14" s="26" t="s">
        <v>4</v>
      </c>
      <c r="J14" s="9"/>
      <c r="K14" s="9"/>
      <c r="L14" s="9"/>
      <c r="M14" s="9"/>
    </row>
    <row r="15" spans="1:13" ht="140" x14ac:dyDescent="0.45">
      <c r="A15" s="26" t="s">
        <v>45</v>
      </c>
      <c r="B15" s="26">
        <v>91</v>
      </c>
      <c r="C15" s="26">
        <v>72</v>
      </c>
      <c r="D15" s="26">
        <v>15</v>
      </c>
      <c r="E15" s="26" t="s">
        <v>57</v>
      </c>
      <c r="F15" s="26"/>
      <c r="G15" s="26" t="s">
        <v>4</v>
      </c>
      <c r="J15" s="9"/>
      <c r="K15" s="9"/>
      <c r="L15" s="9"/>
      <c r="M15" s="9"/>
    </row>
    <row r="16" spans="1:13" ht="140" x14ac:dyDescent="0.45">
      <c r="A16" s="26" t="s">
        <v>46</v>
      </c>
      <c r="B16" s="26">
        <v>35</v>
      </c>
      <c r="C16" s="26">
        <v>39</v>
      </c>
      <c r="D16" s="26">
        <v>15</v>
      </c>
      <c r="E16" s="26" t="s">
        <v>58</v>
      </c>
      <c r="F16" s="26"/>
      <c r="G16" s="26" t="s">
        <v>4</v>
      </c>
      <c r="J16" s="9"/>
      <c r="K16" s="9"/>
      <c r="L16" s="9"/>
      <c r="M16" s="9"/>
    </row>
    <row r="17" spans="1:13" ht="84" x14ac:dyDescent="0.45">
      <c r="A17" s="26" t="s">
        <v>48</v>
      </c>
      <c r="B17" s="26">
        <v>35</v>
      </c>
      <c r="C17" s="26">
        <v>40</v>
      </c>
      <c r="D17" s="26">
        <v>15</v>
      </c>
      <c r="E17" s="26" t="s">
        <v>44</v>
      </c>
      <c r="F17" s="26"/>
      <c r="G17" s="26" t="s">
        <v>4</v>
      </c>
      <c r="J17" s="9"/>
    </row>
    <row r="18" spans="1:13" ht="84" x14ac:dyDescent="0.45">
      <c r="A18" s="26" t="s">
        <v>49</v>
      </c>
      <c r="B18" s="26">
        <v>35</v>
      </c>
      <c r="C18" s="26">
        <v>41</v>
      </c>
      <c r="D18" s="26">
        <v>15</v>
      </c>
      <c r="E18" s="26" t="s">
        <v>44</v>
      </c>
      <c r="F18" s="26"/>
      <c r="G18" s="26" t="s">
        <v>4</v>
      </c>
      <c r="J18" s="9"/>
      <c r="K18" s="9"/>
      <c r="L18" s="9"/>
      <c r="M18" s="9"/>
    </row>
    <row r="19" spans="1:13" ht="84" x14ac:dyDescent="0.45">
      <c r="A19" s="26" t="s">
        <v>51</v>
      </c>
      <c r="B19" s="26">
        <v>35</v>
      </c>
      <c r="C19" s="26">
        <v>219</v>
      </c>
      <c r="D19" s="26">
        <v>15</v>
      </c>
      <c r="E19" s="26" t="s">
        <v>47</v>
      </c>
      <c r="F19" s="26"/>
      <c r="G19" s="26" t="s">
        <v>4</v>
      </c>
    </row>
    <row r="20" spans="1:13" ht="84" x14ac:dyDescent="0.45">
      <c r="A20" s="26" t="s">
        <v>52</v>
      </c>
      <c r="B20" s="26">
        <v>35</v>
      </c>
      <c r="C20" s="26">
        <v>220</v>
      </c>
      <c r="D20" s="26">
        <v>15</v>
      </c>
      <c r="E20" s="26" t="s">
        <v>47</v>
      </c>
      <c r="F20" s="26"/>
      <c r="G20" s="26" t="s">
        <v>4</v>
      </c>
    </row>
    <row r="21" spans="1:13" ht="140" x14ac:dyDescent="0.45">
      <c r="A21" s="37" t="s">
        <v>54</v>
      </c>
      <c r="B21" s="37">
        <v>35</v>
      </c>
      <c r="C21" s="37">
        <v>221</v>
      </c>
      <c r="D21" s="37">
        <v>15</v>
      </c>
      <c r="E21" s="26" t="s">
        <v>58</v>
      </c>
      <c r="F21" s="26"/>
      <c r="G21" s="26" t="s">
        <v>4</v>
      </c>
      <c r="J21" s="9"/>
      <c r="K21" s="9"/>
      <c r="L21" s="9"/>
      <c r="M21" s="9"/>
    </row>
    <row r="22" spans="1:13" ht="140" x14ac:dyDescent="0.45">
      <c r="A22" s="26" t="s">
        <v>59</v>
      </c>
      <c r="B22" s="26">
        <v>35</v>
      </c>
      <c r="C22" s="26">
        <v>72</v>
      </c>
      <c r="D22" s="26">
        <v>-1</v>
      </c>
      <c r="E22" s="26" t="s">
        <v>60</v>
      </c>
      <c r="F22" s="26"/>
      <c r="G22" s="26" t="s">
        <v>4</v>
      </c>
      <c r="J22" s="9"/>
      <c r="K22" s="9"/>
      <c r="L22" s="9"/>
      <c r="M22" s="9"/>
    </row>
    <row r="23" spans="1:13" ht="84" x14ac:dyDescent="0.45">
      <c r="A23" s="26" t="s">
        <v>61</v>
      </c>
      <c r="B23" s="26">
        <v>35</v>
      </c>
      <c r="C23" s="26">
        <v>72</v>
      </c>
      <c r="D23" s="26">
        <v>0</v>
      </c>
      <c r="E23" s="26" t="s">
        <v>50</v>
      </c>
      <c r="F23" s="26"/>
      <c r="G23" s="26" t="s">
        <v>4</v>
      </c>
      <c r="J23" s="9"/>
      <c r="K23" s="9"/>
      <c r="L23" s="9"/>
      <c r="M23" s="9"/>
    </row>
    <row r="24" spans="1:13" ht="84" x14ac:dyDescent="0.45">
      <c r="A24" s="26" t="s">
        <v>62</v>
      </c>
      <c r="B24" s="26">
        <v>35</v>
      </c>
      <c r="C24" s="26">
        <v>72</v>
      </c>
      <c r="D24" s="26">
        <v>1</v>
      </c>
      <c r="E24" s="26" t="s">
        <v>50</v>
      </c>
      <c r="F24" s="26"/>
      <c r="G24" s="26" t="s">
        <v>4</v>
      </c>
      <c r="J24" s="9"/>
      <c r="K24" s="9"/>
      <c r="L24" s="9"/>
      <c r="M24" s="9"/>
    </row>
    <row r="25" spans="1:13" ht="84" x14ac:dyDescent="0.45">
      <c r="A25" s="26" t="s">
        <v>63</v>
      </c>
      <c r="B25" s="26">
        <v>35</v>
      </c>
      <c r="C25" s="26">
        <v>72</v>
      </c>
      <c r="D25" s="26">
        <v>29</v>
      </c>
      <c r="E25" s="26" t="s">
        <v>53</v>
      </c>
      <c r="F25" s="26"/>
      <c r="G25" s="26" t="s">
        <v>4</v>
      </c>
      <c r="J25" s="9"/>
      <c r="K25" s="9"/>
      <c r="L25" s="9"/>
      <c r="M25" s="9"/>
    </row>
    <row r="26" spans="1:13" ht="84" x14ac:dyDescent="0.45">
      <c r="A26" s="26" t="s">
        <v>64</v>
      </c>
      <c r="B26" s="26">
        <v>35</v>
      </c>
      <c r="C26" s="26">
        <v>72</v>
      </c>
      <c r="D26" s="26">
        <v>30</v>
      </c>
      <c r="E26" s="26" t="s">
        <v>53</v>
      </c>
      <c r="F26" s="26"/>
      <c r="G26" s="26" t="s">
        <v>4</v>
      </c>
      <c r="J26" s="9"/>
      <c r="K26" s="9"/>
      <c r="L26" s="9"/>
      <c r="M26" s="9"/>
    </row>
    <row r="27" spans="1:13" ht="140" x14ac:dyDescent="0.45">
      <c r="A27" s="26" t="s">
        <v>65</v>
      </c>
      <c r="B27" s="26">
        <v>35</v>
      </c>
      <c r="C27" s="26">
        <v>72</v>
      </c>
      <c r="D27" s="26">
        <v>31</v>
      </c>
      <c r="E27" s="26" t="s">
        <v>60</v>
      </c>
      <c r="F27" s="26"/>
      <c r="G27" s="26" t="s">
        <v>4</v>
      </c>
      <c r="J27" s="9"/>
    </row>
    <row r="28" spans="1:13" x14ac:dyDescent="0.45">
      <c r="J28" s="9"/>
      <c r="K28" s="9"/>
      <c r="L28" s="9"/>
      <c r="M28" s="9"/>
    </row>
  </sheetData>
  <mergeCells count="9">
    <mergeCell ref="A1:G1"/>
    <mergeCell ref="B3:E3"/>
    <mergeCell ref="B4:E4"/>
    <mergeCell ref="B5:E5"/>
    <mergeCell ref="A7:A8"/>
    <mergeCell ref="B7:D7"/>
    <mergeCell ref="E7:E8"/>
    <mergeCell ref="F7:F8"/>
    <mergeCell ref="G7:G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3"/>
  <sheetViews>
    <sheetView zoomScaleNormal="100" workbookViewId="0">
      <selection activeCell="H16" sqref="H16"/>
    </sheetView>
  </sheetViews>
  <sheetFormatPr baseColWidth="10" defaultColWidth="10.83203125" defaultRowHeight="27" x14ac:dyDescent="0.45"/>
  <cols>
    <col min="1" max="16384" width="10.83203125" style="6"/>
  </cols>
  <sheetData>
    <row r="2" spans="1:11" ht="55.5" customHeight="1" x14ac:dyDescent="0.45">
      <c r="A2" s="14" t="s">
        <v>66</v>
      </c>
      <c r="B2" s="14" t="s">
        <v>67</v>
      </c>
      <c r="C2" s="14" t="s">
        <v>68</v>
      </c>
      <c r="D2" s="15" t="s">
        <v>69</v>
      </c>
      <c r="E2" s="14" t="s">
        <v>70</v>
      </c>
      <c r="F2" s="14" t="s">
        <v>71</v>
      </c>
      <c r="G2" s="14" t="s">
        <v>72</v>
      </c>
      <c r="H2" s="14" t="s">
        <v>73</v>
      </c>
      <c r="I2" s="14" t="s">
        <v>74</v>
      </c>
      <c r="J2" s="14" t="s">
        <v>75</v>
      </c>
      <c r="K2" s="14" t="s">
        <v>76</v>
      </c>
    </row>
    <row r="3" spans="1:11" x14ac:dyDescent="0.45">
      <c r="A3" s="16">
        <v>1</v>
      </c>
      <c r="B3" s="16"/>
      <c r="C3" s="16"/>
      <c r="D3" s="17"/>
      <c r="E3" s="16"/>
      <c r="F3" s="16"/>
      <c r="G3" s="16"/>
      <c r="H3" s="16"/>
      <c r="I3" s="16"/>
      <c r="J3" s="16"/>
      <c r="K3" s="16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Summary</vt:lpstr>
      <vt:lpstr>Normal</vt:lpstr>
      <vt:lpstr>Robustness</vt:lpstr>
      <vt:lpstr>Defect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Chitsutha Soomlek</dc:creator>
  <dc:description/>
  <cp:lastModifiedBy>Peemdech Klanking</cp:lastModifiedBy>
  <cp:revision>0</cp:revision>
  <dcterms:created xsi:type="dcterms:W3CDTF">2024-07-08T13:57:18Z</dcterms:created>
  <dcterms:modified xsi:type="dcterms:W3CDTF">2026-07-20T15:35:20Z</dcterms:modified>
  <dc:language>en-US</dc:language>
</cp:coreProperties>
</file>